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1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in\OneDrive\Documents\"/>
    </mc:Choice>
  </mc:AlternateContent>
  <xr:revisionPtr revIDLastSave="0" documentId="13_ncr:1_{84DCCEA6-BF70-4DEE-81CD-7B36D41A1FE2}" xr6:coauthVersionLast="47" xr6:coauthVersionMax="47" xr10:uidLastSave="{00000000-0000-0000-0000-000000000000}"/>
  <bookViews>
    <workbookView xWindow="-108" yWindow="-108" windowWidth="23256" windowHeight="12456" xr2:uid="{4D3BB18D-0C7A-42D5-910C-52A8274246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6" i="1" l="1"/>
  <c r="J86" i="1"/>
  <c r="F62" i="1"/>
  <c r="F36" i="1"/>
  <c r="G86" i="1"/>
  <c r="H86" i="1"/>
  <c r="G36" i="1"/>
  <c r="H36" i="1"/>
  <c r="J36" i="1"/>
  <c r="G62" i="1"/>
  <c r="H62" i="1"/>
  <c r="J62" i="1"/>
</calcChain>
</file>

<file path=xl/sharedStrings.xml><?xml version="1.0" encoding="utf-8"?>
<sst xmlns="http://schemas.openxmlformats.org/spreadsheetml/2006/main" count="192" uniqueCount="94">
  <si>
    <t>Nama</t>
  </si>
  <si>
    <t>Binusian ID</t>
  </si>
  <si>
    <t>Nomor Induk Mahasiswa</t>
  </si>
  <si>
    <t>Jenis Kelamin</t>
  </si>
  <si>
    <t>Muhammad Devin Ardiansyah</t>
  </si>
  <si>
    <t>BN123585741</t>
  </si>
  <si>
    <t>Laki-laki</t>
  </si>
  <si>
    <t>Tabel Mahasiswa</t>
  </si>
  <si>
    <t>COURSE CODE</t>
  </si>
  <si>
    <t>COURSE</t>
  </si>
  <si>
    <t>CLASS</t>
  </si>
  <si>
    <t>SCU</t>
  </si>
  <si>
    <t>COMPONENT</t>
  </si>
  <si>
    <t>WEIGHT</t>
  </si>
  <si>
    <t>SCORE</t>
  </si>
  <si>
    <t>TOTAL</t>
  </si>
  <si>
    <t>GRADE</t>
  </si>
  <si>
    <t>COMM8006005</t>
  </si>
  <si>
    <t>Business Communication</t>
  </si>
  <si>
    <t>LC21</t>
  </si>
  <si>
    <t>THEORY: ASSIGNMENT</t>
  </si>
  <si>
    <t>C</t>
  </si>
  <si>
    <t>THEORY: FINAL EXAM</t>
  </si>
  <si>
    <t>THEORY: GROUP PROJECT</t>
  </si>
  <si>
    <t>THEORY: MID EXAM</t>
  </si>
  <si>
    <t>ECON6099005</t>
  </si>
  <si>
    <t>Business Economics</t>
  </si>
  <si>
    <t>B-</t>
  </si>
  <si>
    <t>ISYS6181003</t>
  </si>
  <si>
    <t>Management Information Systems for Leader</t>
  </si>
  <si>
    <t>LA21</t>
  </si>
  <si>
    <t>A</t>
  </si>
  <si>
    <t>MATH6176005</t>
  </si>
  <si>
    <t>Business Mathematics</t>
  </si>
  <si>
    <t>LE24</t>
  </si>
  <si>
    <t>B+</t>
  </si>
  <si>
    <t>MGMT6011003</t>
  </si>
  <si>
    <t>Introduction to Management and Business</t>
  </si>
  <si>
    <t>LA16</t>
  </si>
  <si>
    <t>THEORY: FINAL EXAM AOL</t>
  </si>
  <si>
    <t>MGMT6012005</t>
  </si>
  <si>
    <t>Human Resources Management</t>
  </si>
  <si>
    <t>LG28</t>
  </si>
  <si>
    <t>B</t>
  </si>
  <si>
    <t>MKTG8005005</t>
  </si>
  <si>
    <t>Marketing Management</t>
  </si>
  <si>
    <t>LC24</t>
  </si>
  <si>
    <t>Tabel Semester 2</t>
  </si>
  <si>
    <t>Tabel Semester 3</t>
  </si>
  <si>
    <t>OURSE CODE</t>
  </si>
  <si>
    <t>ACCT6351005</t>
  </si>
  <si>
    <t>Accounting for Business</t>
  </si>
  <si>
    <t>LB21</t>
  </si>
  <si>
    <t>A-</t>
  </si>
  <si>
    <t>BUSS6066005</t>
  </si>
  <si>
    <t>Business Ethics</t>
  </si>
  <si>
    <t>LA30</t>
  </si>
  <si>
    <t>FINC6001005</t>
  </si>
  <si>
    <t>Financial Management</t>
  </si>
  <si>
    <t>LAWS6159005</t>
  </si>
  <si>
    <t>Legal Aspect in Business</t>
  </si>
  <si>
    <t>MGMT6297005</t>
  </si>
  <si>
    <t>Operations Management</t>
  </si>
  <si>
    <t>LB30</t>
  </si>
  <si>
    <t>D</t>
  </si>
  <si>
    <t>MGMT6357005</t>
  </si>
  <si>
    <t>Multinational Corporation Management</t>
  </si>
  <si>
    <t>GROUP PROJECT</t>
  </si>
  <si>
    <t>STAT8067005</t>
  </si>
  <si>
    <t>Business Statistics I</t>
  </si>
  <si>
    <t>ENTR6510005</t>
  </si>
  <si>
    <t>Entrepreneurship: Prototyping</t>
  </si>
  <si>
    <t>LC30</t>
  </si>
  <si>
    <t>THEORY: ASSIGNMENT 1</t>
  </si>
  <si>
    <t>THEORY: ASSIGNMENT 2</t>
  </si>
  <si>
    <t>THEORY: ASSIGNMENT 3</t>
  </si>
  <si>
    <t>ISYS6079005</t>
  </si>
  <si>
    <t>E-Business System</t>
  </si>
  <si>
    <t>ISYS6084005</t>
  </si>
  <si>
    <t>Database</t>
  </si>
  <si>
    <t>LAB: ASSIGNMENT</t>
  </si>
  <si>
    <t>LAB: PROJECT</t>
  </si>
  <si>
    <t>MGMT6358005</t>
  </si>
  <si>
    <t>Managing Business Information</t>
  </si>
  <si>
    <t>THEORY: GROUP PROJECT AOL</t>
  </si>
  <si>
    <t>MGMT6374005</t>
  </si>
  <si>
    <t>Analysis on E-Business Investment</t>
  </si>
  <si>
    <t>Tabel Semester 4</t>
  </si>
  <si>
    <t>Rata-rata Keseluruhan</t>
  </si>
  <si>
    <t>Rata-rata keseluruan</t>
  </si>
  <si>
    <t>Nilai Terbesar</t>
  </si>
  <si>
    <t>Nilai Terkecil</t>
  </si>
  <si>
    <t>Rata-rata keseluruhan</t>
  </si>
  <si>
    <t>IPK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</si>
</sst>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8">
    <dxf>
      <numFmt numFmtId="14" formatCode="0.00%"/>
    </dxf>
    <dxf>
      <numFmt numFmtId="14" formatCode="0.00%"/>
    </dxf>
    <dxf>
      <numFmt numFmtId="14" formatCode="0.00%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1.xml"/><Relationship Id="rId3" Type="http://schemas.openxmlformats.org/officeDocument/2006/relationships/styles" Target="styles.xml"/><Relationship Id="rId7" Type="http://schemas.microsoft.com/office/2017/10/relationships/person" Target="persons/person0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ED77FE-458F-4B9E-8123-74CCB88ECBD8}" name="Table2" displayName="Table2" ref="C5:F6" totalsRowShown="0" dataDxfId="7">
  <autoFilter ref="C5:F6" xr:uid="{83ED77FE-458F-4B9E-8123-74CCB88ECBD8}"/>
  <tableColumns count="4">
    <tableColumn id="1" xr3:uid="{BE63E100-6E12-4BF9-A4CA-8C28B9BC9710}" name="Nama" dataDxfId="6"/>
    <tableColumn id="2" xr3:uid="{77A5707F-63D2-4249-8A40-E5FD6780C8CE}" name="Binusian ID" dataDxfId="5"/>
    <tableColumn id="3" xr3:uid="{0EB6BD66-7310-40FA-A8CA-A5B6301E78D3}" name="Nomor Induk Mahasiswa" dataDxfId="4"/>
    <tableColumn id="4" xr3:uid="{B729A75E-F9B2-4341-A8FA-CDE696E1EE28}" name="Jenis Kelamin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40EF66-3D8D-48EC-BB09-B9B44D818F05}" name="Table3" displayName="Table3" ref="C10:K34" totalsRowShown="0">
  <autoFilter ref="C10:K34" xr:uid="{0740EF66-3D8D-48EC-BB09-B9B44D818F05}"/>
  <tableColumns count="9">
    <tableColumn id="1" xr3:uid="{9CA37682-1B80-4BE7-A72C-3A95EF6EC7BF}" name="COURSE CODE"/>
    <tableColumn id="2" xr3:uid="{ED9D93EA-5019-45EA-87DB-8941B5CFDEF3}" name="COURSE"/>
    <tableColumn id="3" xr3:uid="{B4AD9F05-77F7-4654-AB0B-AF7C309B96C0}" name="CLASS"/>
    <tableColumn id="4" xr3:uid="{6120F224-2278-424B-9E20-3C4FCB9DDB31}" name="SCU"/>
    <tableColumn id="5" xr3:uid="{1F427F3D-FC38-427B-BC39-ACDA24C7D45D}" name="COMPONENT"/>
    <tableColumn id="6" xr3:uid="{8C45033B-F1AD-4521-A6DA-CB723854880E}" name="WEIGHT" dataDxfId="2"/>
    <tableColumn id="7" xr3:uid="{8D3178A9-9302-4175-9CE9-583B2C8D8613}" name="SCORE"/>
    <tableColumn id="8" xr3:uid="{9E058B2F-61CF-411D-B486-83913E843485}" name="TOTAL"/>
    <tableColumn id="9" xr3:uid="{259D200C-60A7-4F96-A34E-ABA241A07675}" name="GRA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1AAB67C-2893-46D7-8162-CBCFC7400C9D}" name="Table4" displayName="Table4" ref="C38:K60" totalsRowShown="0">
  <autoFilter ref="C38:K60" xr:uid="{41AAB67C-2893-46D7-8162-CBCFC7400C9D}"/>
  <tableColumns count="9">
    <tableColumn id="1" xr3:uid="{F94A657C-F7E1-49F0-B8B2-34D8CFEE2FA6}" name="OURSE CODE"/>
    <tableColumn id="2" xr3:uid="{8689461C-604E-43F3-860B-D9A982187A25}" name="COURSE"/>
    <tableColumn id="3" xr3:uid="{162301FB-9C1F-4C02-978F-0264C1A4917F}" name="CLASS"/>
    <tableColumn id="4" xr3:uid="{761D097C-31AE-4636-B452-2DE28581CD75}" name="SCU"/>
    <tableColumn id="5" xr3:uid="{912DDD7B-6676-4561-95B6-CDA1B7EBAB4D}" name="COMPONENT"/>
    <tableColumn id="6" xr3:uid="{669754DD-4F4A-4F79-8B19-E9518447472E}" name="WEIGHT" dataDxfId="1"/>
    <tableColumn id="7" xr3:uid="{75D41C45-6E48-4CE6-8294-4388B2BE97D5}" name="SCORE"/>
    <tableColumn id="8" xr3:uid="{E98F8DBE-676C-4FAC-9D9B-7DA69FD59664}" name="TOTAL"/>
    <tableColumn id="9" xr3:uid="{B0E59606-CA8E-4AB3-99DD-DEE4D45543D7}" name="GRAD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7EE2978-51F0-41BF-8BCF-C9BA4DEA603D}" name="Table6" displayName="Table6" ref="C64:K84" totalsRowShown="0">
  <autoFilter ref="C64:K84" xr:uid="{57EE2978-51F0-41BF-8BCF-C9BA4DEA603D}"/>
  <tableColumns count="9">
    <tableColumn id="1" xr3:uid="{A604DF78-7262-4ED8-ABC1-455315EB93D9}" name="COURSE CODE"/>
    <tableColumn id="2" xr3:uid="{71FBB45E-3A73-4911-B7F4-35E53378FCA1}" name="COURSE"/>
    <tableColumn id="3" xr3:uid="{F99589F7-8841-4709-96C3-C1996B3E4F52}" name="CLASS"/>
    <tableColumn id="4" xr3:uid="{98A2A52A-989F-4E11-9334-E0C47AF37BC8}" name="SCU"/>
    <tableColumn id="5" xr3:uid="{6DD2F9C8-FA5E-42F8-A796-80AB0D27A360}" name="COMPONENT"/>
    <tableColumn id="6" xr3:uid="{F2119C0B-78A0-4F97-85C9-140FDFCAAAD2}" name="WEIGHT" dataDxfId="0"/>
    <tableColumn id="7" xr3:uid="{7E84FB96-A9E4-4DDF-BB9B-DE6CF4FD3BD5}" name="SCORE"/>
    <tableColumn id="8" xr3:uid="{8D757C9D-EFF0-4FB2-A549-0711587C179C}" name="TOTAL"/>
    <tableColumn id="9" xr3:uid="{AB2C5270-05EE-48A1-997C-71A98956BC29}" name="GRA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91DB3-CC0F-4F5E-BDA8-A95817B87956}">
  <dimension ref="C4:K86"/>
  <sheetViews>
    <sheetView tabSelected="1" topLeftCell="C1" zoomScale="115" zoomScaleNormal="115" workbookViewId="0">
      <selection activeCell="J11" sqref="J11"/>
    </sheetView>
  </sheetViews>
  <sheetFormatPr defaultRowHeight="14.4" x14ac:dyDescent="0.3"/>
  <cols>
    <col min="3" max="3" width="30.88671875" customWidth="1"/>
    <col min="4" max="4" width="41.88671875" customWidth="1"/>
    <col min="5" max="5" width="23.88671875" customWidth="1"/>
    <col min="6" max="6" width="14.109375" customWidth="1"/>
    <col min="7" max="7" width="27.21875" customWidth="1"/>
    <col min="8" max="8" width="9.6640625" customWidth="1"/>
    <col min="10" max="10" width="10.88671875" customWidth="1"/>
  </cols>
  <sheetData>
    <row r="4" spans="3:11" x14ac:dyDescent="0.3">
      <c r="C4" t="s">
        <v>7</v>
      </c>
    </row>
    <row r="5" spans="3:11" x14ac:dyDescent="0.3">
      <c r="C5" t="s">
        <v>0</v>
      </c>
      <c r="D5" t="s">
        <v>1</v>
      </c>
      <c r="E5" t="s">
        <v>2</v>
      </c>
      <c r="F5" t="s">
        <v>3</v>
      </c>
    </row>
    <row r="6" spans="3:11" x14ac:dyDescent="0.3">
      <c r="C6" s="1" t="s">
        <v>4</v>
      </c>
      <c r="D6" s="1" t="s">
        <v>5</v>
      </c>
      <c r="E6" s="1">
        <v>2502137431</v>
      </c>
      <c r="F6" s="1" t="s">
        <v>6</v>
      </c>
    </row>
    <row r="8" spans="3:11" x14ac:dyDescent="0.3">
      <c r="C8" t="s">
        <v>47</v>
      </c>
    </row>
    <row r="10" spans="3:11" x14ac:dyDescent="0.3">
      <c r="C10" t="s">
        <v>8</v>
      </c>
      <c r="D10" t="s">
        <v>9</v>
      </c>
      <c r="E10" t="s">
        <v>10</v>
      </c>
      <c r="F10" t="s">
        <v>11</v>
      </c>
      <c r="G10" t="s">
        <v>12</v>
      </c>
      <c r="H10" t="s">
        <v>13</v>
      </c>
      <c r="I10" t="s">
        <v>14</v>
      </c>
      <c r="J10" t="s">
        <v>15</v>
      </c>
      <c r="K10" t="s">
        <v>16</v>
      </c>
    </row>
    <row r="11" spans="3:11" x14ac:dyDescent="0.3">
      <c r="C11" t="s">
        <v>17</v>
      </c>
      <c r="D11" t="s">
        <v>18</v>
      </c>
      <c r="E11" t="s">
        <v>19</v>
      </c>
      <c r="F11">
        <v>2</v>
      </c>
      <c r="G11" t="s">
        <v>20</v>
      </c>
      <c r="H11" s="2">
        <v>0.2</v>
      </c>
      <c r="I11">
        <v>75</v>
      </c>
      <c r="J11">
        <v>65</v>
      </c>
      <c r="K11" t="s">
        <v>21</v>
      </c>
    </row>
    <row r="12" spans="3:11" x14ac:dyDescent="0.3">
      <c r="G12" t="s">
        <v>22</v>
      </c>
      <c r="H12" s="2">
        <v>0.3</v>
      </c>
      <c r="I12">
        <v>75</v>
      </c>
    </row>
    <row r="13" spans="3:11" x14ac:dyDescent="0.3">
      <c r="G13" t="s">
        <v>23</v>
      </c>
      <c r="H13" s="2">
        <v>0.2</v>
      </c>
      <c r="I13">
        <v>40</v>
      </c>
    </row>
    <row r="14" spans="3:11" x14ac:dyDescent="0.3">
      <c r="G14" t="s">
        <v>24</v>
      </c>
      <c r="H14" s="2">
        <v>0.3</v>
      </c>
      <c r="I14">
        <v>65</v>
      </c>
    </row>
    <row r="15" spans="3:11" x14ac:dyDescent="0.3">
      <c r="C15" t="s">
        <v>25</v>
      </c>
      <c r="D15" t="s">
        <v>26</v>
      </c>
      <c r="E15" t="s">
        <v>19</v>
      </c>
      <c r="F15">
        <v>4</v>
      </c>
      <c r="G15" t="s">
        <v>20</v>
      </c>
      <c r="H15" s="2">
        <v>0.2</v>
      </c>
      <c r="I15">
        <v>93</v>
      </c>
      <c r="J15">
        <v>71</v>
      </c>
      <c r="K15" t="s">
        <v>27</v>
      </c>
    </row>
    <row r="16" spans="3:11" x14ac:dyDescent="0.3">
      <c r="G16" t="s">
        <v>22</v>
      </c>
      <c r="H16" s="2">
        <v>0.3</v>
      </c>
      <c r="I16">
        <v>83</v>
      </c>
    </row>
    <row r="17" spans="3:11" x14ac:dyDescent="0.3">
      <c r="G17" t="s">
        <v>23</v>
      </c>
      <c r="H17" s="2">
        <v>0.2</v>
      </c>
      <c r="I17">
        <v>84</v>
      </c>
    </row>
    <row r="18" spans="3:11" x14ac:dyDescent="0.3">
      <c r="G18" t="s">
        <v>24</v>
      </c>
      <c r="H18" s="2">
        <v>0.3</v>
      </c>
      <c r="I18">
        <v>34</v>
      </c>
    </row>
    <row r="19" spans="3:11" x14ac:dyDescent="0.3">
      <c r="C19" t="s">
        <v>28</v>
      </c>
      <c r="D19" t="s">
        <v>29</v>
      </c>
      <c r="E19" t="s">
        <v>30</v>
      </c>
      <c r="F19">
        <v>4</v>
      </c>
      <c r="G19" t="s">
        <v>20</v>
      </c>
      <c r="H19" s="2">
        <v>0.3</v>
      </c>
      <c r="I19">
        <v>95</v>
      </c>
      <c r="J19">
        <v>90</v>
      </c>
      <c r="K19" t="s">
        <v>31</v>
      </c>
    </row>
    <row r="20" spans="3:11" x14ac:dyDescent="0.3">
      <c r="G20" t="s">
        <v>24</v>
      </c>
      <c r="H20" s="2">
        <v>0.35</v>
      </c>
      <c r="I20">
        <v>83</v>
      </c>
    </row>
    <row r="21" spans="3:11" x14ac:dyDescent="0.3">
      <c r="G21" t="s">
        <v>22</v>
      </c>
      <c r="H21" s="2">
        <v>0.35</v>
      </c>
      <c r="I21">
        <v>91</v>
      </c>
    </row>
    <row r="22" spans="3:11" x14ac:dyDescent="0.3">
      <c r="C22" t="s">
        <v>32</v>
      </c>
      <c r="D22" t="s">
        <v>33</v>
      </c>
      <c r="E22" t="s">
        <v>34</v>
      </c>
      <c r="F22">
        <v>2</v>
      </c>
      <c r="G22" t="s">
        <v>20</v>
      </c>
      <c r="H22" s="2">
        <v>0.4</v>
      </c>
      <c r="I22">
        <v>95</v>
      </c>
      <c r="J22">
        <v>80</v>
      </c>
      <c r="K22" t="s">
        <v>35</v>
      </c>
    </row>
    <row r="23" spans="3:11" x14ac:dyDescent="0.3">
      <c r="G23" t="s">
        <v>22</v>
      </c>
      <c r="H23" s="2">
        <v>0.3</v>
      </c>
      <c r="I23">
        <v>70</v>
      </c>
    </row>
    <row r="24" spans="3:11" x14ac:dyDescent="0.3">
      <c r="G24" t="s">
        <v>24</v>
      </c>
      <c r="H24" s="2">
        <v>0.3</v>
      </c>
      <c r="I24">
        <v>70</v>
      </c>
    </row>
    <row r="25" spans="3:11" x14ac:dyDescent="0.3">
      <c r="C25" t="s">
        <v>36</v>
      </c>
      <c r="D25" t="s">
        <v>37</v>
      </c>
      <c r="E25" t="s">
        <v>38</v>
      </c>
      <c r="F25">
        <v>4</v>
      </c>
      <c r="G25" t="s">
        <v>20</v>
      </c>
      <c r="H25" s="2">
        <v>0.2</v>
      </c>
      <c r="I25">
        <v>80</v>
      </c>
      <c r="J25">
        <v>66</v>
      </c>
      <c r="K25" t="s">
        <v>21</v>
      </c>
    </row>
    <row r="26" spans="3:11" x14ac:dyDescent="0.3">
      <c r="G26" t="s">
        <v>39</v>
      </c>
      <c r="H26" s="2">
        <v>0.5</v>
      </c>
      <c r="I26">
        <v>60</v>
      </c>
    </row>
    <row r="27" spans="3:11" x14ac:dyDescent="0.3">
      <c r="G27" t="s">
        <v>24</v>
      </c>
      <c r="H27" s="2">
        <v>0.3</v>
      </c>
      <c r="I27">
        <v>65</v>
      </c>
    </row>
    <row r="28" spans="3:11" x14ac:dyDescent="0.3">
      <c r="C28" t="s">
        <v>40</v>
      </c>
      <c r="D28" t="s">
        <v>41</v>
      </c>
      <c r="E28" t="s">
        <v>42</v>
      </c>
      <c r="F28">
        <v>4</v>
      </c>
      <c r="G28" t="s">
        <v>20</v>
      </c>
      <c r="H28" s="2">
        <v>0.3</v>
      </c>
      <c r="I28">
        <v>85</v>
      </c>
      <c r="J28">
        <v>75</v>
      </c>
      <c r="K28" t="s">
        <v>43</v>
      </c>
    </row>
    <row r="29" spans="3:11" x14ac:dyDescent="0.3">
      <c r="G29" t="s">
        <v>39</v>
      </c>
      <c r="H29" s="2">
        <v>0.4</v>
      </c>
      <c r="I29">
        <v>75</v>
      </c>
    </row>
    <row r="30" spans="3:11" x14ac:dyDescent="0.3">
      <c r="G30" t="s">
        <v>24</v>
      </c>
      <c r="H30" s="2">
        <v>0.3</v>
      </c>
      <c r="I30">
        <v>65</v>
      </c>
    </row>
    <row r="31" spans="3:11" x14ac:dyDescent="0.3">
      <c r="C31" t="s">
        <v>44</v>
      </c>
      <c r="D31" t="s">
        <v>45</v>
      </c>
      <c r="E31" t="s">
        <v>46</v>
      </c>
      <c r="F31">
        <v>4</v>
      </c>
      <c r="G31" t="s">
        <v>20</v>
      </c>
      <c r="H31" s="2">
        <v>0.2</v>
      </c>
      <c r="I31">
        <v>100</v>
      </c>
      <c r="J31">
        <v>77</v>
      </c>
      <c r="K31" t="s">
        <v>43</v>
      </c>
    </row>
    <row r="32" spans="3:11" x14ac:dyDescent="0.3">
      <c r="G32" t="s">
        <v>22</v>
      </c>
      <c r="H32" s="2">
        <v>0.3</v>
      </c>
      <c r="I32">
        <v>70</v>
      </c>
    </row>
    <row r="33" spans="3:11" x14ac:dyDescent="0.3">
      <c r="G33" t="s">
        <v>23</v>
      </c>
      <c r="H33" s="2">
        <v>0.2</v>
      </c>
      <c r="I33">
        <v>90</v>
      </c>
    </row>
    <row r="34" spans="3:11" x14ac:dyDescent="0.3">
      <c r="G34" t="s">
        <v>24</v>
      </c>
      <c r="H34" s="2">
        <v>0.3</v>
      </c>
      <c r="I34">
        <v>60</v>
      </c>
    </row>
    <row r="35" spans="3:11" x14ac:dyDescent="0.3">
      <c r="F35" s="4" t="s">
        <v>93</v>
      </c>
      <c r="G35" s="4" t="s">
        <v>91</v>
      </c>
      <c r="H35" s="6" t="s">
        <v>90</v>
      </c>
      <c r="I35" s="6"/>
      <c r="J35" s="6" t="s">
        <v>89</v>
      </c>
      <c r="K35" s="6"/>
    </row>
    <row r="36" spans="3:11" x14ac:dyDescent="0.3">
      <c r="F36" s="3">
        <f>ROUNDDOWN(J36/20-1,1)</f>
        <v>2.7</v>
      </c>
      <c r="G36" s="3">
        <f>MIN(J11:J31)</f>
        <v>65</v>
      </c>
      <c r="H36" s="5">
        <f>MAX(J11:J31)</f>
        <v>90</v>
      </c>
      <c r="I36" s="5"/>
      <c r="J36" s="5">
        <f>ROUNDUP(AVERAGE(J11:J31),1)</f>
        <v>74.899999999999991</v>
      </c>
      <c r="K36" s="5"/>
    </row>
    <row r="37" spans="3:11" x14ac:dyDescent="0.3">
      <c r="C37" t="s">
        <v>48</v>
      </c>
    </row>
    <row r="38" spans="3:11" x14ac:dyDescent="0.3">
      <c r="C38" t="s">
        <v>49</v>
      </c>
      <c r="D38" t="s">
        <v>9</v>
      </c>
      <c r="E38" t="s">
        <v>10</v>
      </c>
      <c r="F38" t="s">
        <v>11</v>
      </c>
      <c r="G38" t="s">
        <v>12</v>
      </c>
      <c r="H38" t="s">
        <v>13</v>
      </c>
      <c r="I38" t="s">
        <v>14</v>
      </c>
      <c r="J38" t="s">
        <v>15</v>
      </c>
      <c r="K38" t="s">
        <v>16</v>
      </c>
    </row>
    <row r="39" spans="3:11" x14ac:dyDescent="0.3">
      <c r="C39" t="s">
        <v>50</v>
      </c>
      <c r="D39" t="s">
        <v>51</v>
      </c>
      <c r="E39" t="s">
        <v>52</v>
      </c>
      <c r="F39">
        <v>4</v>
      </c>
      <c r="G39" t="s">
        <v>20</v>
      </c>
      <c r="H39" s="2">
        <v>0.4</v>
      </c>
      <c r="I39">
        <v>86</v>
      </c>
      <c r="J39">
        <v>85</v>
      </c>
      <c r="K39" t="s">
        <v>53</v>
      </c>
    </row>
    <row r="40" spans="3:11" x14ac:dyDescent="0.3">
      <c r="G40" t="s">
        <v>22</v>
      </c>
      <c r="H40" s="2">
        <v>0.3</v>
      </c>
      <c r="I40">
        <v>83</v>
      </c>
    </row>
    <row r="41" spans="3:11" x14ac:dyDescent="0.3">
      <c r="G41" t="s">
        <v>24</v>
      </c>
      <c r="H41" s="2">
        <v>0.3</v>
      </c>
      <c r="I41">
        <v>85</v>
      </c>
    </row>
    <row r="42" spans="3:11" x14ac:dyDescent="0.3">
      <c r="C42" t="s">
        <v>54</v>
      </c>
      <c r="D42" t="s">
        <v>55</v>
      </c>
      <c r="E42" t="s">
        <v>56</v>
      </c>
      <c r="F42">
        <v>2</v>
      </c>
      <c r="G42" t="s">
        <v>20</v>
      </c>
      <c r="H42" s="2">
        <v>0.3</v>
      </c>
      <c r="I42">
        <v>77</v>
      </c>
      <c r="J42">
        <v>80</v>
      </c>
      <c r="K42" t="s">
        <v>35</v>
      </c>
    </row>
    <row r="43" spans="3:11" x14ac:dyDescent="0.3">
      <c r="G43" t="s">
        <v>22</v>
      </c>
      <c r="H43" s="2">
        <v>0.5</v>
      </c>
      <c r="I43">
        <v>79</v>
      </c>
    </row>
    <row r="44" spans="3:11" x14ac:dyDescent="0.3">
      <c r="G44" t="s">
        <v>23</v>
      </c>
      <c r="H44" s="2">
        <v>0.2</v>
      </c>
      <c r="I44">
        <v>85</v>
      </c>
    </row>
    <row r="45" spans="3:11" x14ac:dyDescent="0.3">
      <c r="C45" t="s">
        <v>57</v>
      </c>
      <c r="D45" t="s">
        <v>58</v>
      </c>
      <c r="E45" t="s">
        <v>52</v>
      </c>
      <c r="F45">
        <v>4</v>
      </c>
      <c r="G45" t="s">
        <v>20</v>
      </c>
      <c r="H45" s="2">
        <v>0.4</v>
      </c>
      <c r="I45">
        <v>70</v>
      </c>
      <c r="J45">
        <v>75</v>
      </c>
      <c r="K45" t="s">
        <v>43</v>
      </c>
    </row>
    <row r="46" spans="3:11" x14ac:dyDescent="0.3">
      <c r="G46" t="s">
        <v>22</v>
      </c>
      <c r="H46" s="2">
        <v>0.3</v>
      </c>
      <c r="I46">
        <v>61</v>
      </c>
    </row>
    <row r="47" spans="3:11" x14ac:dyDescent="0.3">
      <c r="G47" t="s">
        <v>24</v>
      </c>
      <c r="H47" s="2">
        <v>0.3</v>
      </c>
      <c r="I47">
        <v>93</v>
      </c>
    </row>
    <row r="48" spans="3:11" x14ac:dyDescent="0.3">
      <c r="C48" t="s">
        <v>59</v>
      </c>
      <c r="D48" t="s">
        <v>60</v>
      </c>
      <c r="E48" t="s">
        <v>52</v>
      </c>
      <c r="F48">
        <v>2</v>
      </c>
      <c r="G48" t="s">
        <v>20</v>
      </c>
      <c r="H48" s="2">
        <v>0.2</v>
      </c>
      <c r="I48">
        <v>90</v>
      </c>
      <c r="J48">
        <v>83</v>
      </c>
      <c r="K48" t="s">
        <v>35</v>
      </c>
    </row>
    <row r="49" spans="3:11" x14ac:dyDescent="0.3">
      <c r="G49" t="s">
        <v>22</v>
      </c>
      <c r="H49" s="2">
        <v>0.5</v>
      </c>
      <c r="I49">
        <v>85</v>
      </c>
    </row>
    <row r="50" spans="3:11" x14ac:dyDescent="0.3">
      <c r="G50" t="s">
        <v>24</v>
      </c>
      <c r="H50" s="2">
        <v>0.3</v>
      </c>
      <c r="I50">
        <v>75</v>
      </c>
    </row>
    <row r="51" spans="3:11" x14ac:dyDescent="0.3">
      <c r="C51" t="s">
        <v>61</v>
      </c>
      <c r="D51" t="s">
        <v>62</v>
      </c>
      <c r="E51" t="s">
        <v>63</v>
      </c>
      <c r="F51">
        <v>4</v>
      </c>
      <c r="G51" t="s">
        <v>20</v>
      </c>
      <c r="H51" s="2">
        <v>0.4</v>
      </c>
      <c r="I51">
        <v>65</v>
      </c>
      <c r="J51">
        <v>61</v>
      </c>
      <c r="K51" t="s">
        <v>64</v>
      </c>
    </row>
    <row r="52" spans="3:11" x14ac:dyDescent="0.3">
      <c r="G52" t="s">
        <v>22</v>
      </c>
      <c r="H52" s="2">
        <v>0.3</v>
      </c>
      <c r="I52">
        <v>65</v>
      </c>
    </row>
    <row r="53" spans="3:11" x14ac:dyDescent="0.3">
      <c r="G53" t="s">
        <v>24</v>
      </c>
      <c r="H53" s="2">
        <v>0.3</v>
      </c>
      <c r="I53">
        <v>50</v>
      </c>
    </row>
    <row r="54" spans="3:11" x14ac:dyDescent="0.3">
      <c r="C54" t="s">
        <v>65</v>
      </c>
      <c r="D54" t="s">
        <v>66</v>
      </c>
      <c r="E54" t="s">
        <v>52</v>
      </c>
      <c r="F54">
        <v>4</v>
      </c>
      <c r="G54" t="s">
        <v>20</v>
      </c>
      <c r="H54" s="2">
        <v>0.1</v>
      </c>
      <c r="I54">
        <v>90</v>
      </c>
      <c r="J54">
        <v>92</v>
      </c>
      <c r="K54" t="s">
        <v>31</v>
      </c>
    </row>
    <row r="55" spans="3:11" x14ac:dyDescent="0.3">
      <c r="G55" t="s">
        <v>22</v>
      </c>
      <c r="H55" s="2">
        <v>0.4</v>
      </c>
      <c r="I55">
        <v>92</v>
      </c>
    </row>
    <row r="56" spans="3:11" x14ac:dyDescent="0.3">
      <c r="G56" t="s">
        <v>24</v>
      </c>
      <c r="H56" s="2">
        <v>0.3</v>
      </c>
      <c r="I56">
        <v>88</v>
      </c>
    </row>
    <row r="57" spans="3:11" x14ac:dyDescent="0.3">
      <c r="G57" t="s">
        <v>67</v>
      </c>
      <c r="H57" s="2">
        <v>0.2</v>
      </c>
      <c r="I57">
        <v>95</v>
      </c>
    </row>
    <row r="58" spans="3:11" x14ac:dyDescent="0.3">
      <c r="C58" t="s">
        <v>68</v>
      </c>
      <c r="D58" t="s">
        <v>69</v>
      </c>
      <c r="E58" t="s">
        <v>63</v>
      </c>
      <c r="F58">
        <v>2</v>
      </c>
      <c r="G58" t="s">
        <v>20</v>
      </c>
      <c r="H58" s="2">
        <v>0.4</v>
      </c>
      <c r="I58">
        <v>86</v>
      </c>
      <c r="J58">
        <v>82</v>
      </c>
      <c r="K58" t="s">
        <v>35</v>
      </c>
    </row>
    <row r="59" spans="3:11" x14ac:dyDescent="0.3">
      <c r="G59" t="s">
        <v>22</v>
      </c>
      <c r="H59" s="2">
        <v>0.3</v>
      </c>
      <c r="I59">
        <v>80</v>
      </c>
    </row>
    <row r="60" spans="3:11" x14ac:dyDescent="0.3">
      <c r="G60" t="s">
        <v>24</v>
      </c>
      <c r="H60" s="2">
        <v>0.3</v>
      </c>
      <c r="I60">
        <v>77</v>
      </c>
    </row>
    <row r="61" spans="3:11" x14ac:dyDescent="0.3">
      <c r="F61" s="4" t="s">
        <v>93</v>
      </c>
      <c r="G61" s="4" t="s">
        <v>91</v>
      </c>
      <c r="H61" s="9" t="s">
        <v>90</v>
      </c>
      <c r="I61" s="10"/>
      <c r="J61" s="9" t="s">
        <v>88</v>
      </c>
      <c r="K61" s="10"/>
    </row>
    <row r="62" spans="3:11" x14ac:dyDescent="0.3">
      <c r="F62" s="3">
        <f>ROUNDUP(J62/20-1,1)</f>
        <v>3</v>
      </c>
      <c r="G62" s="3">
        <f>MIN(J39:J58)</f>
        <v>61</v>
      </c>
      <c r="H62" s="7">
        <f>MAX(J39:J58)</f>
        <v>92</v>
      </c>
      <c r="I62" s="8"/>
      <c r="J62" s="7">
        <f>ROUNDUP(AVERAGE(J39:J58),1)</f>
        <v>79.8</v>
      </c>
      <c r="K62" s="8"/>
    </row>
    <row r="63" spans="3:11" x14ac:dyDescent="0.3">
      <c r="C63" t="s">
        <v>87</v>
      </c>
    </row>
    <row r="64" spans="3:11" x14ac:dyDescent="0.3">
      <c r="C64" t="s">
        <v>8</v>
      </c>
      <c r="D64" t="s">
        <v>9</v>
      </c>
      <c r="E64" t="s">
        <v>10</v>
      </c>
      <c r="F64" t="s">
        <v>11</v>
      </c>
      <c r="G64" t="s">
        <v>12</v>
      </c>
      <c r="H64" t="s">
        <v>13</v>
      </c>
      <c r="I64" t="s">
        <v>14</v>
      </c>
      <c r="J64" t="s">
        <v>15</v>
      </c>
      <c r="K64" t="s">
        <v>16</v>
      </c>
    </row>
    <row r="65" spans="3:11" x14ac:dyDescent="0.3">
      <c r="C65" t="s">
        <v>70</v>
      </c>
      <c r="D65" t="s">
        <v>71</v>
      </c>
      <c r="E65" t="s">
        <v>72</v>
      </c>
      <c r="F65">
        <v>2</v>
      </c>
      <c r="G65" t="s">
        <v>22</v>
      </c>
      <c r="H65" s="2">
        <v>0.3</v>
      </c>
      <c r="I65">
        <v>85</v>
      </c>
      <c r="J65">
        <v>88</v>
      </c>
      <c r="K65" t="s">
        <v>53</v>
      </c>
    </row>
    <row r="66" spans="3:11" x14ac:dyDescent="0.3">
      <c r="G66" t="s">
        <v>73</v>
      </c>
      <c r="H66" s="2">
        <v>0.21</v>
      </c>
      <c r="I66">
        <v>95</v>
      </c>
    </row>
    <row r="67" spans="3:11" x14ac:dyDescent="0.3">
      <c r="G67" t="s">
        <v>74</v>
      </c>
      <c r="H67" s="2">
        <v>0.28000000000000003</v>
      </c>
      <c r="I67">
        <v>88</v>
      </c>
    </row>
    <row r="68" spans="3:11" x14ac:dyDescent="0.3">
      <c r="G68" t="s">
        <v>75</v>
      </c>
      <c r="H68" s="2">
        <v>0.21</v>
      </c>
      <c r="I68">
        <v>83</v>
      </c>
    </row>
    <row r="69" spans="3:11" x14ac:dyDescent="0.3">
      <c r="C69" t="s">
        <v>76</v>
      </c>
      <c r="D69" t="s">
        <v>77</v>
      </c>
      <c r="E69" t="s">
        <v>30</v>
      </c>
      <c r="F69">
        <v>4</v>
      </c>
      <c r="G69" t="s">
        <v>20</v>
      </c>
      <c r="H69" s="2">
        <v>0.3</v>
      </c>
      <c r="I69">
        <v>94</v>
      </c>
      <c r="J69">
        <v>90</v>
      </c>
      <c r="K69" t="s">
        <v>31</v>
      </c>
    </row>
    <row r="70" spans="3:11" x14ac:dyDescent="0.3">
      <c r="G70" t="s">
        <v>24</v>
      </c>
      <c r="H70" s="2">
        <v>0.3</v>
      </c>
      <c r="I70">
        <v>90</v>
      </c>
    </row>
    <row r="71" spans="3:11" x14ac:dyDescent="0.3">
      <c r="G71" t="s">
        <v>22</v>
      </c>
      <c r="H71" s="2">
        <v>0.4</v>
      </c>
      <c r="I71">
        <v>87</v>
      </c>
    </row>
    <row r="72" spans="3:11" x14ac:dyDescent="0.3">
      <c r="C72" t="s">
        <v>78</v>
      </c>
      <c r="D72" t="s">
        <v>79</v>
      </c>
      <c r="E72" t="s">
        <v>30</v>
      </c>
      <c r="F72">
        <v>4</v>
      </c>
      <c r="G72" t="s">
        <v>20</v>
      </c>
      <c r="H72" s="2">
        <v>0.21</v>
      </c>
      <c r="I72">
        <v>100</v>
      </c>
      <c r="J72">
        <v>75</v>
      </c>
      <c r="K72" t="s">
        <v>43</v>
      </c>
    </row>
    <row r="73" spans="3:11" x14ac:dyDescent="0.3">
      <c r="G73" t="s">
        <v>24</v>
      </c>
      <c r="H73" s="2">
        <v>0.24</v>
      </c>
      <c r="I73">
        <v>85</v>
      </c>
    </row>
    <row r="74" spans="3:11" x14ac:dyDescent="0.3">
      <c r="G74" t="s">
        <v>22</v>
      </c>
      <c r="H74" s="2">
        <v>0.25</v>
      </c>
      <c r="I74">
        <v>80</v>
      </c>
    </row>
    <row r="75" spans="3:11" x14ac:dyDescent="0.3">
      <c r="G75" t="s">
        <v>80</v>
      </c>
      <c r="H75" s="2">
        <v>0.12</v>
      </c>
      <c r="I75">
        <v>58</v>
      </c>
    </row>
    <row r="76" spans="3:11" x14ac:dyDescent="0.3">
      <c r="G76" t="s">
        <v>81</v>
      </c>
      <c r="H76" s="2">
        <v>0.18</v>
      </c>
      <c r="I76">
        <v>33</v>
      </c>
    </row>
    <row r="77" spans="3:11" x14ac:dyDescent="0.3">
      <c r="C77" t="s">
        <v>82</v>
      </c>
      <c r="D77" t="s">
        <v>83</v>
      </c>
      <c r="E77" t="s">
        <v>52</v>
      </c>
      <c r="F77">
        <v>4</v>
      </c>
      <c r="G77" t="s">
        <v>20</v>
      </c>
      <c r="H77" s="2">
        <v>0.1</v>
      </c>
      <c r="I77">
        <v>85</v>
      </c>
      <c r="J77">
        <v>73</v>
      </c>
      <c r="K77" t="s">
        <v>27</v>
      </c>
    </row>
    <row r="78" spans="3:11" x14ac:dyDescent="0.3">
      <c r="G78" t="s">
        <v>24</v>
      </c>
      <c r="H78" s="2">
        <v>0.3</v>
      </c>
      <c r="I78">
        <v>80</v>
      </c>
    </row>
    <row r="79" spans="3:11" x14ac:dyDescent="0.3">
      <c r="G79" t="s">
        <v>22</v>
      </c>
      <c r="H79" s="2">
        <v>0.3</v>
      </c>
      <c r="I79">
        <v>55</v>
      </c>
    </row>
    <row r="80" spans="3:11" x14ac:dyDescent="0.3">
      <c r="G80" t="s">
        <v>84</v>
      </c>
      <c r="H80" s="2">
        <v>0.3</v>
      </c>
      <c r="I80">
        <v>80</v>
      </c>
    </row>
    <row r="81" spans="3:11" x14ac:dyDescent="0.3">
      <c r="C81" t="s">
        <v>85</v>
      </c>
      <c r="D81" t="s">
        <v>86</v>
      </c>
      <c r="E81" t="s">
        <v>30</v>
      </c>
      <c r="F81">
        <v>4</v>
      </c>
      <c r="G81" t="s">
        <v>20</v>
      </c>
      <c r="H81" s="2">
        <v>0.2</v>
      </c>
      <c r="I81">
        <v>73</v>
      </c>
      <c r="J81">
        <v>79</v>
      </c>
      <c r="K81" t="s">
        <v>43</v>
      </c>
    </row>
    <row r="82" spans="3:11" x14ac:dyDescent="0.3">
      <c r="G82" t="s">
        <v>24</v>
      </c>
      <c r="H82" s="2">
        <v>0.2</v>
      </c>
      <c r="I82">
        <v>80</v>
      </c>
    </row>
    <row r="83" spans="3:11" x14ac:dyDescent="0.3">
      <c r="G83" t="s">
        <v>22</v>
      </c>
      <c r="H83" s="2">
        <v>0.3</v>
      </c>
      <c r="I83">
        <v>80</v>
      </c>
    </row>
    <row r="84" spans="3:11" x14ac:dyDescent="0.3">
      <c r="G84" t="s">
        <v>84</v>
      </c>
      <c r="H84" s="2">
        <v>0.3</v>
      </c>
      <c r="I84">
        <v>81</v>
      </c>
    </row>
    <row r="85" spans="3:11" x14ac:dyDescent="0.3">
      <c r="F85" s="11" t="s">
        <v>93</v>
      </c>
      <c r="G85" s="4" t="s">
        <v>91</v>
      </c>
      <c r="H85" s="6" t="s">
        <v>90</v>
      </c>
      <c r="I85" s="6"/>
      <c r="J85" s="6" t="s">
        <v>92</v>
      </c>
      <c r="K85" s="6"/>
    </row>
    <row r="86" spans="3:11" x14ac:dyDescent="0.3">
      <c r="F86" s="1">
        <f>ROUNDUP(J86/20-1,1)</f>
        <v>3.1</v>
      </c>
      <c r="G86" s="3">
        <f>MIN(J65:J81)</f>
        <v>73</v>
      </c>
      <c r="H86" s="5">
        <f>MAX(J65:J81)</f>
        <v>90</v>
      </c>
      <c r="I86" s="5"/>
      <c r="J86" s="5">
        <f>AVERAGE(J65:J81)</f>
        <v>81</v>
      </c>
      <c r="K86" s="5"/>
    </row>
  </sheetData>
  <mergeCells count="12">
    <mergeCell ref="H61:I61"/>
    <mergeCell ref="J61:K61"/>
    <mergeCell ref="J36:K36"/>
    <mergeCell ref="J35:K35"/>
    <mergeCell ref="H36:I36"/>
    <mergeCell ref="H35:I35"/>
    <mergeCell ref="J86:K86"/>
    <mergeCell ref="J85:K85"/>
    <mergeCell ref="H85:I85"/>
    <mergeCell ref="H86:I86"/>
    <mergeCell ref="J62:K62"/>
    <mergeCell ref="H62:I62"/>
  </mergeCells>
  <conditionalFormatting sqref="G36:K3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2:K6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86:K8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1:J3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9:J6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5:J8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Devin</dc:creator>
  <cp:lastModifiedBy>Muhammad Devin</cp:lastModifiedBy>
  <dcterms:created xsi:type="dcterms:W3CDTF">2023-12-25T08:36:04Z</dcterms:created>
  <dcterms:modified xsi:type="dcterms:W3CDTF">2023-12-27T02:09:32Z</dcterms:modified>
</cp:coreProperties>
</file>